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nnan\Desktop\"/>
    </mc:Choice>
  </mc:AlternateContent>
  <xr:revisionPtr revIDLastSave="0" documentId="8_{C9A2BA13-55E9-4B0A-B948-1F49765458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2" r:id="rId1"/>
  </sheets>
  <definedNames>
    <definedName name="_xlnm._FilterDatabase" localSheetId="0" hidden="1">Dataset!$K$1:$K$1000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H31" i="2"/>
  <c r="H32" i="2"/>
  <c r="L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</calcChain>
</file>

<file path=xl/sharedStrings.xml><?xml version="1.0" encoding="utf-8"?>
<sst xmlns="http://schemas.openxmlformats.org/spreadsheetml/2006/main" count="224" uniqueCount="149">
  <si>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</si>
  <si>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</si>
  <si>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</si>
  <si>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</si>
  <si>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</si>
  <si>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</si>
  <si>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</si>
  <si>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</si>
  <si>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</si>
  <si>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</si>
  <si>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</si>
  <si>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</si>
  <si>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</si>
  <si>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</si>
  <si>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</si>
  <si>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</si>
  <si>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</si>
  <si>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</si>
  <si>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</si>
  <si>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</si>
  <si>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</si>
  <si>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</si>
  <si>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</si>
  <si>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</si>
  <si>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</si>
  <si>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</si>
  <si>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</si>
  <si>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</si>
  <si>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</si>
  <si>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</si>
  <si>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</si>
  <si>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</si>
  <si>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</si>
  <si>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</si>
  <si>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</si>
  <si>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</si>
  <si>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</si>
  <si>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</si>
  <si>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</si>
  <si>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</si>
  <si>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</si>
  <si>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</si>
  <si>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</si>
  <si>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</si>
  <si>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</si>
  <si>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</si>
  <si>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</si>
  <si>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</si>
  <si>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</si>
  <si>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</si>
  <si>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</si>
  <si>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</si>
  <si>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</si>
  <si>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</si>
  <si>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</si>
  <si>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</si>
  <si>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</si>
  <si>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</si>
  <si>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</si>
  <si>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</si>
  <si>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</si>
  <si>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</si>
  <si>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</si>
  <si>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</si>
  <si>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</si>
  <si>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</si>
  <si>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</si>
  <si>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</si>
  <si>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</si>
  <si>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</si>
  <si>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</si>
  <si>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</si>
  <si>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</si>
  <si>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</si>
  <si>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</si>
  <si>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</si>
  <si>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</si>
  <si>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</si>
  <si>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</si>
  <si>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</si>
  <si>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</si>
  <si>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</si>
  <si>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</si>
  <si>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</si>
  <si>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</si>
  <si>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</si>
  <si>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</si>
  <si>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</si>
  <si>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</si>
  <si>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</si>
  <si>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</si>
  <si>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</si>
  <si>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</si>
  <si>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</si>
  <si>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1. Handling Missing Values:</t>
  </si>
  <si>
    <t>2. Correcting Inconsistent Data:</t>
  </si>
  <si>
    <t>Unknown</t>
  </si>
  <si>
    <t>IF(ISBLANK(I2),"Unknown",I2)</t>
  </si>
  <si>
    <t>3. Removing Duplicates:</t>
  </si>
  <si>
    <t>4. Splitting and Merging Data:</t>
  </si>
  <si>
    <t>Manufacturing Date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</si>
  <si>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</si>
  <si>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</si>
  <si>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</si>
  <si>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</si>
  <si>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</si>
  <si>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</si>
  <si>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</si>
  <si>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</si>
  <si>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</si>
  <si>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</si>
  <si>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</si>
  <si>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</si>
  <si>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</si>
  <si>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5. Number Formatting:</t>
  </si>
  <si>
    <t xml:space="preserve">6. Conditional Formatting: </t>
  </si>
  <si>
    <r>
      <t xml:space="preserve">Missing values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were replaced with </t>
    </r>
    <r>
      <rPr>
        <b/>
        <sz val="10"/>
        <color rgb="FF000000"/>
        <rFont val="Arial"/>
        <family val="2"/>
        <scheme val="minor"/>
      </rPr>
      <t>"Unknown"</t>
    </r>
    <r>
      <rPr>
        <sz val="10"/>
        <color rgb="FF000000"/>
        <rFont val="Arial"/>
        <family val="2"/>
        <scheme val="minor"/>
      </rPr>
      <t xml:space="preserve"> using a formula.</t>
    </r>
  </si>
  <si>
    <r>
      <t>The missing</t>
    </r>
    <r>
      <rPr>
        <b/>
        <sz val="10"/>
        <color rgb="FF000000"/>
        <rFont val="Arial"/>
        <family val="2"/>
        <scheme val="minor"/>
      </rPr>
      <t xml:space="preserve"> Prices </t>
    </r>
    <r>
      <rPr>
        <sz val="10"/>
        <color rgb="FF000000"/>
        <rFont val="Arial"/>
        <family val="2"/>
        <scheme val="minor"/>
      </rPr>
      <t xml:space="preserve">were replaced with the </t>
    </r>
    <r>
      <rPr>
        <b/>
        <sz val="10"/>
        <color rgb="FF000000"/>
        <rFont val="Arial"/>
        <family val="2"/>
        <scheme val="minor"/>
      </rPr>
      <t xml:space="preserve">Average price </t>
    </r>
    <r>
      <rPr>
        <sz val="10"/>
        <color rgb="FF000000"/>
        <rFont val="Arial"/>
        <family val="2"/>
        <scheme val="minor"/>
      </rPr>
      <t>of the available values.</t>
    </r>
  </si>
  <si>
    <r>
      <t xml:space="preserve">Identified and corrected inconsistent text formats in the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 and</t>
    </r>
  </si>
  <si>
    <r>
      <t xml:space="preserve">spelling errors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using Excel’s </t>
    </r>
    <r>
      <rPr>
        <b/>
        <sz val="10"/>
        <color rgb="FF000000"/>
        <rFont val="Arial"/>
        <family val="2"/>
        <scheme val="minor"/>
      </rPr>
      <t>Find and Replace</t>
    </r>
    <r>
      <rPr>
        <sz val="10"/>
        <color rgb="FF000000"/>
        <rFont val="Arial"/>
        <family val="2"/>
        <scheme val="minor"/>
      </rPr>
      <t xml:space="preserve"> option. </t>
    </r>
  </si>
  <si>
    <t>The corrections were made to standardize the data and maintain consistency throughout the dataset.</t>
  </si>
  <si>
    <t xml:space="preserve"> </t>
  </si>
  <si>
    <r>
      <t xml:space="preserve">3 duplicate rows were identified and removed using Excel's </t>
    </r>
    <r>
      <rPr>
        <b/>
        <sz val="10"/>
        <color rgb="FF000000"/>
        <rFont val="Arial"/>
        <family val="2"/>
        <scheme val="minor"/>
      </rPr>
      <t>Remove Duplicates</t>
    </r>
    <r>
      <rPr>
        <sz val="10"/>
        <color rgb="FF000000"/>
        <rFont val="Arial"/>
        <family val="2"/>
        <scheme val="minor"/>
      </rPr>
      <t xml:space="preserve"> option.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</si>
  <si>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Brand Name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columns were merged into a single column named </t>
    </r>
    <r>
      <rPr>
        <b/>
        <sz val="10"/>
        <color rgb="FF000000"/>
        <rFont val="Arial"/>
        <family val="2"/>
        <scheme val="minor"/>
      </rPr>
      <t>Product Brand</t>
    </r>
    <r>
      <rPr>
        <sz val="10"/>
        <color rgb="FF000000"/>
        <rFont val="Arial"/>
        <family val="2"/>
        <scheme val="minor"/>
      </rPr>
      <t>.</t>
    </r>
  </si>
  <si>
    <t>FORMULA:</t>
  </si>
  <si>
    <r>
      <rPr>
        <b/>
        <sz val="10"/>
        <color rgb="FF000000"/>
        <rFont val="Arial"/>
        <family val="2"/>
        <scheme val="minor"/>
      </rPr>
      <t>FORMULA</t>
    </r>
    <r>
      <rPr>
        <sz val="10"/>
        <color rgb="FF000000"/>
        <rFont val="Arial"/>
        <family val="2"/>
        <scheme val="minor"/>
      </rPr>
      <t>:    IF(ISBLANK(G7),AVERAGE($G$2:$G$35),G7)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</si>
  <si>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was formatted as </t>
    </r>
    <r>
      <rPr>
        <b/>
        <sz val="10"/>
        <color rgb="FF000000"/>
        <rFont val="Arial"/>
        <family val="2"/>
        <scheme val="minor"/>
      </rPr>
      <t>Currency</t>
    </r>
    <r>
      <rPr>
        <sz val="10"/>
        <color rgb="FF000000"/>
        <rFont val="Arial"/>
        <family val="2"/>
        <scheme val="minor"/>
      </rPr>
      <t>.</t>
    </r>
  </si>
  <si>
    <r>
      <t xml:space="preserve">Created a </t>
    </r>
    <r>
      <rPr>
        <b/>
        <sz val="10"/>
        <color rgb="FF000000"/>
        <rFont val="Arial"/>
        <family val="2"/>
        <scheme val="minor"/>
      </rPr>
      <t>custom conditional formatting rule</t>
    </r>
    <r>
      <rPr>
        <sz val="10"/>
        <color rgb="FF000000"/>
        <rFont val="Arial"/>
        <family val="2"/>
        <scheme val="minor"/>
      </rPr>
      <t xml:space="preserve">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to highlight cells where the category is </t>
    </r>
    <r>
      <rPr>
        <b/>
        <sz val="10"/>
        <color rgb="FF000000"/>
        <rFont val="Arial"/>
        <family val="2"/>
        <scheme val="minor"/>
      </rPr>
      <t>"Electronics."</t>
    </r>
  </si>
  <si>
    <t>The Source Product ID contains only the date and month; the year is not provided. Therefore, the year was not added or assumed.</t>
  </si>
  <si>
    <r>
      <t xml:space="preserve">Missing values were identified in the </t>
    </r>
    <r>
      <rPr>
        <b/>
        <sz val="10"/>
        <color rgb="FF000000"/>
        <rFont val="Arial"/>
        <family val="2"/>
        <scheme val="minor"/>
      </rPr>
      <t xml:space="preserve">Price </t>
    </r>
    <r>
      <rPr>
        <sz val="10"/>
        <color rgb="FF000000"/>
        <rFont val="Arial"/>
        <family val="2"/>
        <scheme val="minor"/>
      </rPr>
      <t>and</t>
    </r>
    <r>
      <rPr>
        <b/>
        <sz val="10"/>
        <color rgb="FF000000"/>
        <rFont val="Arial"/>
        <family val="2"/>
        <scheme val="minor"/>
      </rPr>
      <t xml:space="preserve"> Category</t>
    </r>
    <r>
      <rPr>
        <sz val="10"/>
        <color rgb="FF000000"/>
        <rFont val="Arial"/>
        <family val="2"/>
        <scheme val="minor"/>
      </rPr>
      <t xml:space="preserve"> column.</t>
    </r>
  </si>
  <si>
    <r>
      <t xml:space="preserve">Applied </t>
    </r>
    <r>
      <rPr>
        <b/>
        <sz val="10"/>
        <color rgb="FF000000"/>
        <rFont val="Arial"/>
        <family val="2"/>
        <scheme val="minor"/>
      </rPr>
      <t>color scale Conditional formatting</t>
    </r>
    <r>
      <rPr>
        <sz val="10"/>
        <color rgb="FF000000"/>
        <rFont val="Arial"/>
        <family val="2"/>
        <scheme val="minor"/>
      </rPr>
      <t xml:space="preserve"> to the </t>
    </r>
    <r>
      <rPr>
        <b/>
        <sz val="10"/>
        <color rgb="FF000000"/>
        <rFont val="Arial"/>
        <family val="2"/>
        <scheme val="minor"/>
      </rPr>
      <t xml:space="preserve">Price </t>
    </r>
    <r>
      <rPr>
        <sz val="10"/>
        <color rgb="FF000000"/>
        <rFont val="Arial"/>
        <family val="2"/>
        <scheme val="minor"/>
      </rPr>
      <t>column.</t>
    </r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</si>
  <si>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</si>
  <si>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</si>
  <si>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</si>
  <si>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</si>
  <si>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</si>
  <si>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</si>
  <si>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</si>
  <si>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</si>
  <si>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</si>
  <si>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</si>
  <si>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</si>
  <si>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</si>
  <si>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</si>
  <si>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</si>
  <si>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r>
      <t>The</t>
    </r>
    <r>
      <rPr>
        <b/>
        <sz val="10"/>
        <color rgb="FF000000"/>
        <rFont val="Arial"/>
        <family val="2"/>
        <scheme val="minor"/>
      </rPr>
      <t xml:space="preserve"> Manufacturing Date and month</t>
    </r>
    <r>
      <rPr>
        <sz val="10"/>
        <color rgb="FF000000"/>
        <rFont val="Arial"/>
        <family val="2"/>
        <scheme val="minor"/>
      </rPr>
      <t xml:space="preserve"> column was merged and </t>
    </r>
  </si>
  <si>
    <r>
      <t xml:space="preserve"> formatted to display the available </t>
    </r>
    <r>
      <rPr>
        <b/>
        <sz val="10"/>
        <color rgb="FF000000"/>
        <rFont val="Arial"/>
        <family val="2"/>
        <scheme val="minor"/>
      </rPr>
      <t>DD-MM</t>
    </r>
    <r>
      <rPr>
        <sz val="10"/>
        <color rgb="FF000000"/>
        <rFont val="Arial"/>
        <family val="2"/>
        <scheme val="minor"/>
      </rPr>
      <t xml:space="preserve"> information using</t>
    </r>
    <r>
      <rPr>
        <b/>
        <sz val="10"/>
        <color rgb="FF000000"/>
        <rFont val="Arial"/>
        <family val="2"/>
        <scheme val="minor"/>
      </rPr>
      <t xml:space="preserve"> Formula:        C</t>
    </r>
    <r>
      <rPr>
        <sz val="10"/>
        <color rgb="FF000000"/>
        <rFont val="Arial"/>
        <family val="2"/>
        <scheme val="minor"/>
      </rPr>
      <t>ONCATENATE(B2,"-",C2)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</si>
  <si>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Product ID</t>
    </r>
    <r>
      <rPr>
        <sz val="10"/>
        <color rgb="FF000000"/>
        <rFont val="Arial"/>
        <family val="2"/>
        <scheme val="minor"/>
      </rPr>
      <t xml:space="preserve"> column was split into three separate columns, </t>
    </r>
    <r>
      <rPr>
        <b/>
        <sz val="10"/>
        <color rgb="FF000000"/>
        <rFont val="Arial"/>
        <family val="2"/>
        <scheme val="minor"/>
      </rPr>
      <t>Manufacturing Date Month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, using the </t>
    </r>
    <r>
      <rPr>
        <b/>
        <sz val="10"/>
        <color rgb="FF000000"/>
        <rFont val="Arial"/>
        <family val="2"/>
        <scheme val="minor"/>
      </rPr>
      <t>"-" delimiter</t>
    </r>
    <r>
      <rPr>
        <sz val="10"/>
        <color rgb="FF000000"/>
        <rFont val="Arial"/>
        <family val="2"/>
        <scheme val="minor"/>
      </rPr>
      <t>.</t>
    </r>
  </si>
  <si>
    <t>CONCATENATE(F2," ",G2)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</si>
</sst>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7">
    <font>
      <sz val="10"/>
      <color rgb="FF000000"/>
      <name val="Arial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0" xfId="0" applyFill="1"/>
    <xf numFmtId="164" fontId="0" fillId="0" borderId="0" xfId="0" applyNumberFormat="1"/>
    <xf numFmtId="0" fontId="2" fillId="0" borderId="0" xfId="0" applyFont="1"/>
    <xf numFmtId="0" fontId="2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2" fillId="4" borderId="0" xfId="0" applyFont="1" applyFill="1"/>
    <xf numFmtId="0" fontId="3" fillId="4" borderId="0" xfId="0" applyFont="1" applyFill="1"/>
    <xf numFmtId="0" fontId="2" fillId="6" borderId="0" xfId="0" applyFont="1" applyFill="1"/>
    <xf numFmtId="0" fontId="1" fillId="5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6" fillId="3" borderId="0" xfId="0" applyFont="1" applyFill="1"/>
    <xf numFmtId="164" fontId="6" fillId="3" borderId="0" xfId="0" applyNumberFormat="1" applyFont="1" applyFill="1"/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18">
    <dxf>
      <fill>
        <patternFill>
          <fgColor auto="1"/>
          <bgColor theme="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0"/>
  <sheetViews>
    <sheetView tabSelected="1" topLeftCell="F18" zoomScaleNormal="100" workbookViewId="0">
      <selection activeCell="T32" sqref="A1:T32"/>
    </sheetView>
  </sheetViews>
  <sheetFormatPr defaultColWidth="12.5703125" defaultRowHeight="15" customHeight="1"/>
  <cols>
    <col min="1" max="1" width="10.28515625" bestFit="1" customWidth="1"/>
    <col min="2" max="2" width="4.7109375" bestFit="1" customWidth="1"/>
    <col min="3" max="3" width="6" bestFit="1" customWidth="1"/>
    <col min="4" max="4" width="17" bestFit="1" customWidth="1"/>
    <col min="5" max="5" width="11.85546875" bestFit="1" customWidth="1"/>
    <col min="6" max="6" width="13.28515625" bestFit="1" customWidth="1"/>
    <col min="7" max="7" width="11" bestFit="1" customWidth="1"/>
    <col min="8" max="8" width="20.85546875" bestFit="1" customWidth="1"/>
    <col min="9" max="9" width="9.28515625" style="2" bestFit="1" customWidth="1"/>
    <col min="10" max="10" width="7.7109375" bestFit="1" customWidth="1"/>
    <col min="11" max="11" width="10.7109375" bestFit="1" customWidth="1"/>
  </cols>
  <sheetData>
    <row r="1" spans="1:24" ht="15.75" customHeight="1">
      <c r="A1" s="12" t="s">
        <v>0</v>
      </c>
      <c r="B1" s="12" t="s">
        <v>144</v>
      </c>
      <c r="C1" s="12" t="s">
        <v>131</v>
      </c>
      <c r="D1" s="12" t="s">
        <v>100</v>
      </c>
      <c r="E1" s="12" t="s">
        <v>93</v>
      </c>
      <c r="F1" s="12" t="s">
        <v>1</v>
      </c>
      <c r="G1" s="12" t="s">
        <v>2</v>
      </c>
      <c r="H1" s="12" t="s">
        <v>101</v>
      </c>
      <c r="I1" s="13" t="s">
        <v>3</v>
      </c>
      <c r="J1" s="12" t="s">
        <v>4</v>
      </c>
      <c r="K1" s="12" t="s">
        <v>5</v>
      </c>
      <c r="L1" s="5"/>
      <c r="M1" s="5"/>
      <c r="N1" s="4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>
      <c r="A2" s="14" t="s">
        <v>6</v>
      </c>
      <c r="B2" s="14">
        <v>28</v>
      </c>
      <c r="C2" s="14" t="s">
        <v>132</v>
      </c>
      <c r="D2" s="14" t="str">
        <f>CONCATENATE(B2,"-",C2)</f>
        <v>28-JAN</v>
      </c>
      <c r="E2" s="14" t="s">
        <v>102</v>
      </c>
      <c r="F2" s="14" t="s">
        <v>39</v>
      </c>
      <c r="G2" s="14" t="s">
        <v>7</v>
      </c>
      <c r="H2" s="14" t="str">
        <f>CONCATENATE(F2," ",G2)</f>
        <v>Laptop Dell</v>
      </c>
      <c r="I2" s="15">
        <v>1000</v>
      </c>
      <c r="J2" s="14">
        <v>30</v>
      </c>
      <c r="K2" s="14" t="s">
        <v>8</v>
      </c>
      <c r="L2" s="5" t="s">
        <v>94</v>
      </c>
      <c r="M2" s="5"/>
      <c r="N2" s="4"/>
      <c r="O2" s="4"/>
      <c r="P2" s="4"/>
      <c r="Q2" s="4"/>
      <c r="R2" s="4"/>
      <c r="S2" s="4"/>
      <c r="T2" s="4"/>
      <c r="U2" s="4"/>
      <c r="V2" s="1"/>
      <c r="W2" s="1"/>
      <c r="X2" s="1"/>
    </row>
    <row r="3" spans="1:24" ht="15.75" customHeight="1">
      <c r="A3" s="16" t="s">
        <v>9</v>
      </c>
      <c r="B3" s="16">
        <v>15</v>
      </c>
      <c r="C3" s="16" t="s">
        <v>133</v>
      </c>
      <c r="D3" s="16" t="str">
        <f t="shared" ref="D3:D32" si="0">CONCATENATE(B3,"-",C3)</f>
        <v>15-FEB</v>
      </c>
      <c r="E3" s="16" t="s">
        <v>102</v>
      </c>
      <c r="F3" s="16" t="s">
        <v>10</v>
      </c>
      <c r="G3" s="16" t="s">
        <v>11</v>
      </c>
      <c r="H3" s="16" t="str">
        <f t="shared" ref="H3:H32" si="1">CONCATENATE(F3," ",G3)</f>
        <v>Sneakers Nike</v>
      </c>
      <c r="I3" s="17">
        <v>80</v>
      </c>
      <c r="J3" s="16">
        <v>15</v>
      </c>
      <c r="K3" s="16" t="s">
        <v>12</v>
      </c>
      <c r="L3" s="4" t="s">
        <v>129</v>
      </c>
      <c r="M3" s="4"/>
      <c r="N3" s="4"/>
      <c r="O3" s="4"/>
      <c r="P3" s="4"/>
      <c r="Q3" s="4"/>
      <c r="R3" s="11"/>
      <c r="S3" s="11"/>
      <c r="T3" s="11"/>
      <c r="U3" s="4"/>
      <c r="V3" s="1"/>
      <c r="W3" s="1"/>
      <c r="X3" s="1"/>
    </row>
    <row r="4" spans="1:24" ht="15.75" customHeight="1">
      <c r="A4" s="14" t="s">
        <v>13</v>
      </c>
      <c r="B4" s="14">
        <v>3</v>
      </c>
      <c r="C4" s="14" t="s">
        <v>134</v>
      </c>
      <c r="D4" s="14" t="str">
        <f t="shared" si="0"/>
        <v>3-MAR</v>
      </c>
      <c r="E4" s="14" t="s">
        <v>102</v>
      </c>
      <c r="F4" s="14" t="s">
        <v>14</v>
      </c>
      <c r="G4" s="14" t="s">
        <v>15</v>
      </c>
      <c r="H4" s="14" t="str">
        <f t="shared" si="1"/>
        <v>Coffee Maker Keurig</v>
      </c>
      <c r="I4" s="15">
        <v>130</v>
      </c>
      <c r="J4" s="14">
        <v>40</v>
      </c>
      <c r="K4" s="14" t="s">
        <v>16</v>
      </c>
      <c r="L4" s="4" t="s">
        <v>117</v>
      </c>
      <c r="M4" s="4"/>
      <c r="N4" s="4"/>
      <c r="O4" s="4"/>
      <c r="P4" s="4"/>
      <c r="Q4" s="4"/>
      <c r="R4" s="11"/>
      <c r="S4" s="11"/>
      <c r="T4" s="11"/>
      <c r="U4" s="4"/>
      <c r="V4" s="1"/>
      <c r="W4" s="1"/>
      <c r="X4" s="1"/>
    </row>
    <row r="5" spans="1:24" ht="15.75" customHeight="1">
      <c r="A5" s="16" t="s">
        <v>17</v>
      </c>
      <c r="B5" s="16">
        <v>11</v>
      </c>
      <c r="C5" s="16" t="s">
        <v>135</v>
      </c>
      <c r="D5" s="16" t="str">
        <f t="shared" si="0"/>
        <v>11-APR</v>
      </c>
      <c r="E5" s="16" t="s">
        <v>102</v>
      </c>
      <c r="F5" s="16" t="s">
        <v>73</v>
      </c>
      <c r="G5" s="16" t="s">
        <v>18</v>
      </c>
      <c r="H5" s="16" t="str">
        <f t="shared" si="1"/>
        <v>Smartphone Samsung</v>
      </c>
      <c r="I5" s="17">
        <v>900</v>
      </c>
      <c r="J5" s="16">
        <v>25</v>
      </c>
      <c r="K5" s="16" t="s">
        <v>8</v>
      </c>
      <c r="L5" s="10">
        <f>IF(ISBLANK(I7),AVERAGE($I$2:$I$35),I7)</f>
        <v>309.35483870967744</v>
      </c>
      <c r="M5" s="8" t="s">
        <v>125</v>
      </c>
      <c r="N5" s="8"/>
      <c r="O5" s="8"/>
      <c r="P5" s="9"/>
      <c r="Q5" s="8"/>
      <c r="R5" s="4"/>
      <c r="S5" s="4"/>
      <c r="T5" s="4"/>
      <c r="U5" s="4"/>
      <c r="V5" s="6"/>
      <c r="W5" s="1"/>
      <c r="X5" s="1"/>
    </row>
    <row r="6" spans="1:24" ht="15.75" customHeight="1">
      <c r="A6" s="14" t="s">
        <v>19</v>
      </c>
      <c r="B6" s="14">
        <v>22</v>
      </c>
      <c r="C6" s="14" t="s">
        <v>136</v>
      </c>
      <c r="D6" s="14" t="str">
        <f t="shared" si="0"/>
        <v>22-MAY</v>
      </c>
      <c r="E6" s="14" t="s">
        <v>102</v>
      </c>
      <c r="F6" s="14" t="s">
        <v>20</v>
      </c>
      <c r="G6" s="14" t="s">
        <v>21</v>
      </c>
      <c r="H6" s="14" t="str">
        <f t="shared" si="1"/>
        <v>Backpack North Face</v>
      </c>
      <c r="I6" s="15">
        <v>70</v>
      </c>
      <c r="J6" s="14">
        <v>20</v>
      </c>
      <c r="K6" s="14" t="s">
        <v>96</v>
      </c>
      <c r="L6" s="4" t="s">
        <v>116</v>
      </c>
      <c r="M6" s="4"/>
      <c r="N6" s="4"/>
      <c r="O6" s="4"/>
      <c r="P6" s="6"/>
      <c r="Q6" s="4"/>
      <c r="R6" s="4"/>
      <c r="S6" s="4"/>
      <c r="T6" s="4"/>
      <c r="U6" s="4"/>
      <c r="V6" s="1"/>
      <c r="W6" s="1"/>
      <c r="X6" s="1"/>
    </row>
    <row r="7" spans="1:24" ht="15.75" customHeight="1">
      <c r="A7" s="16" t="s">
        <v>22</v>
      </c>
      <c r="B7" s="16">
        <v>7</v>
      </c>
      <c r="C7" s="16" t="s">
        <v>137</v>
      </c>
      <c r="D7" s="16" t="str">
        <f t="shared" si="0"/>
        <v>7-JUN</v>
      </c>
      <c r="E7" s="16" t="s">
        <v>103</v>
      </c>
      <c r="F7" s="16" t="s">
        <v>23</v>
      </c>
      <c r="G7" s="16" t="s">
        <v>24</v>
      </c>
      <c r="H7" s="16" t="str">
        <f t="shared" si="1"/>
        <v>Headphones Sony</v>
      </c>
      <c r="I7" s="17">
        <v>309.35483870967744</v>
      </c>
      <c r="J7" s="16">
        <v>45</v>
      </c>
      <c r="K7" s="16" t="s">
        <v>8</v>
      </c>
      <c r="L7" s="5" t="s">
        <v>124</v>
      </c>
      <c r="M7" s="8" t="s">
        <v>97</v>
      </c>
      <c r="N7" s="8"/>
      <c r="O7" s="8"/>
      <c r="P7" s="4"/>
      <c r="Q7" s="4"/>
      <c r="R7" s="4"/>
      <c r="S7" s="4"/>
      <c r="T7" s="4"/>
      <c r="U7" s="4"/>
      <c r="V7" s="1"/>
      <c r="W7" s="1"/>
      <c r="X7" s="1"/>
    </row>
    <row r="8" spans="1:24" ht="15.75" customHeight="1">
      <c r="A8" s="14" t="s">
        <v>25</v>
      </c>
      <c r="B8" s="14">
        <v>19</v>
      </c>
      <c r="C8" s="14" t="s">
        <v>138</v>
      </c>
      <c r="D8" s="14" t="str">
        <f t="shared" si="0"/>
        <v>19-JUL</v>
      </c>
      <c r="E8" s="14" t="s">
        <v>103</v>
      </c>
      <c r="F8" s="14" t="s">
        <v>26</v>
      </c>
      <c r="G8" s="14" t="s">
        <v>27</v>
      </c>
      <c r="H8" s="14" t="str">
        <f t="shared" si="1"/>
        <v>T-shirt Adidas</v>
      </c>
      <c r="I8" s="15">
        <v>30</v>
      </c>
      <c r="J8" s="14">
        <v>5</v>
      </c>
      <c r="K8" s="14" t="s">
        <v>12</v>
      </c>
      <c r="L8" s="4"/>
      <c r="M8" s="4" t="s">
        <v>121</v>
      </c>
      <c r="N8" s="4"/>
      <c r="O8" s="4"/>
      <c r="P8" s="4"/>
      <c r="Q8" s="4"/>
      <c r="R8" s="4"/>
      <c r="S8" s="4"/>
      <c r="T8" s="4"/>
      <c r="U8" s="4"/>
      <c r="V8" s="1"/>
      <c r="W8" s="1"/>
      <c r="X8" s="1"/>
    </row>
    <row r="9" spans="1:24" ht="15.75" customHeight="1">
      <c r="A9" s="16" t="s">
        <v>28</v>
      </c>
      <c r="B9" s="16">
        <v>23</v>
      </c>
      <c r="C9" s="16" t="s">
        <v>139</v>
      </c>
      <c r="D9" s="16" t="str">
        <f t="shared" si="0"/>
        <v>23-AUG</v>
      </c>
      <c r="E9" s="16" t="s">
        <v>103</v>
      </c>
      <c r="F9" s="16" t="s">
        <v>29</v>
      </c>
      <c r="G9" s="16" t="s">
        <v>30</v>
      </c>
      <c r="H9" s="16" t="str">
        <f t="shared" si="1"/>
        <v>Blender Ninja</v>
      </c>
      <c r="I9" s="17">
        <v>90</v>
      </c>
      <c r="J9" s="16">
        <v>35</v>
      </c>
      <c r="K9" s="16" t="s">
        <v>16</v>
      </c>
      <c r="L9" s="5" t="s">
        <v>95</v>
      </c>
      <c r="M9" s="5"/>
      <c r="N9" s="4"/>
      <c r="O9" s="4"/>
      <c r="P9" s="4"/>
      <c r="Q9" s="4"/>
      <c r="R9" s="4"/>
      <c r="S9" s="4"/>
      <c r="T9" s="4"/>
      <c r="U9" s="4"/>
      <c r="V9" s="1"/>
      <c r="W9" s="1"/>
      <c r="X9" s="1"/>
    </row>
    <row r="10" spans="1:24" ht="15.75" customHeight="1">
      <c r="A10" s="14" t="s">
        <v>31</v>
      </c>
      <c r="B10" s="14">
        <v>5</v>
      </c>
      <c r="C10" s="14" t="s">
        <v>140</v>
      </c>
      <c r="D10" s="14" t="str">
        <f t="shared" si="0"/>
        <v>5-SEP</v>
      </c>
      <c r="E10" s="14" t="s">
        <v>103</v>
      </c>
      <c r="F10" s="14" t="s">
        <v>32</v>
      </c>
      <c r="G10" s="14" t="s">
        <v>33</v>
      </c>
      <c r="H10" s="14" t="str">
        <f t="shared" si="1"/>
        <v>Tablet Apple</v>
      </c>
      <c r="I10" s="15">
        <v>500</v>
      </c>
      <c r="J10" s="14">
        <v>50</v>
      </c>
      <c r="K10" s="14" t="s">
        <v>8</v>
      </c>
      <c r="L10" s="4" t="s">
        <v>118</v>
      </c>
      <c r="M10" s="4"/>
      <c r="N10" s="4"/>
      <c r="O10" s="4"/>
      <c r="P10" s="4"/>
      <c r="Q10" s="4"/>
      <c r="R10" s="4"/>
      <c r="S10" s="4"/>
      <c r="T10" s="4"/>
      <c r="U10" s="4"/>
      <c r="V10" s="1"/>
      <c r="W10" s="1"/>
      <c r="X10" s="1"/>
    </row>
    <row r="11" spans="1:24" ht="15.75" customHeight="1">
      <c r="A11" s="16" t="s">
        <v>34</v>
      </c>
      <c r="B11" s="16">
        <v>14</v>
      </c>
      <c r="C11" s="16" t="s">
        <v>141</v>
      </c>
      <c r="D11" s="16" t="str">
        <f t="shared" si="0"/>
        <v>14-OCT</v>
      </c>
      <c r="E11" s="16" t="s">
        <v>103</v>
      </c>
      <c r="F11" s="16" t="s">
        <v>35</v>
      </c>
      <c r="G11" s="16" t="s">
        <v>36</v>
      </c>
      <c r="H11" s="16" t="str">
        <f t="shared" si="1"/>
        <v>Hiking Boots Timberland</v>
      </c>
      <c r="I11" s="17">
        <v>130</v>
      </c>
      <c r="J11" s="16">
        <v>10</v>
      </c>
      <c r="K11" s="16" t="s">
        <v>37</v>
      </c>
      <c r="L11" s="4" t="s">
        <v>119</v>
      </c>
      <c r="M11" s="4"/>
      <c r="N11" s="4"/>
      <c r="O11" s="4"/>
      <c r="P11" s="4"/>
      <c r="Q11" s="4"/>
      <c r="R11" s="4"/>
      <c r="S11" s="4"/>
      <c r="T11" s="4"/>
      <c r="U11" s="4"/>
      <c r="V11" s="1"/>
      <c r="W11" s="1"/>
      <c r="X11" s="1"/>
    </row>
    <row r="12" spans="1:24" ht="15.75" customHeight="1">
      <c r="A12" s="14" t="s">
        <v>38</v>
      </c>
      <c r="B12" s="14">
        <v>17</v>
      </c>
      <c r="C12" s="14" t="s">
        <v>137</v>
      </c>
      <c r="D12" s="14" t="str">
        <f t="shared" si="0"/>
        <v>17-JUN</v>
      </c>
      <c r="E12" s="14" t="s">
        <v>104</v>
      </c>
      <c r="F12" s="14" t="s">
        <v>39</v>
      </c>
      <c r="G12" s="14" t="s">
        <v>40</v>
      </c>
      <c r="H12" s="14" t="str">
        <f t="shared" si="1"/>
        <v>Laptop HP</v>
      </c>
      <c r="I12" s="15">
        <v>950</v>
      </c>
      <c r="J12" s="14">
        <v>25</v>
      </c>
      <c r="K12" s="14" t="s">
        <v>8</v>
      </c>
      <c r="L12" s="4" t="s">
        <v>120</v>
      </c>
      <c r="M12" s="5"/>
      <c r="N12" s="4"/>
      <c r="O12" s="4"/>
      <c r="P12" s="6"/>
      <c r="Q12" s="4"/>
      <c r="R12" s="4"/>
      <c r="S12" s="4"/>
      <c r="T12" s="4"/>
      <c r="U12" s="4"/>
      <c r="V12" s="1"/>
      <c r="W12" s="1"/>
      <c r="X12" s="1"/>
    </row>
    <row r="13" spans="1:24" ht="15.75" customHeight="1">
      <c r="A13" s="16" t="s">
        <v>41</v>
      </c>
      <c r="B13" s="16">
        <v>25</v>
      </c>
      <c r="C13" s="16" t="s">
        <v>142</v>
      </c>
      <c r="D13" s="16" t="str">
        <f t="shared" si="0"/>
        <v>25-NOV</v>
      </c>
      <c r="E13" s="16" t="s">
        <v>105</v>
      </c>
      <c r="F13" s="16" t="s">
        <v>10</v>
      </c>
      <c r="G13" s="16" t="s">
        <v>27</v>
      </c>
      <c r="H13" s="16" t="str">
        <f t="shared" si="1"/>
        <v>Sneakers Adidas</v>
      </c>
      <c r="I13" s="17">
        <v>90</v>
      </c>
      <c r="J13" s="16">
        <v>40</v>
      </c>
      <c r="K13" s="16" t="s">
        <v>96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1"/>
      <c r="W13" s="1"/>
      <c r="X13" s="1"/>
    </row>
    <row r="14" spans="1:24" ht="15.75" customHeight="1">
      <c r="A14" s="14" t="s">
        <v>42</v>
      </c>
      <c r="B14" s="14">
        <v>8</v>
      </c>
      <c r="C14" s="14" t="s">
        <v>143</v>
      </c>
      <c r="D14" s="14" t="str">
        <f t="shared" si="0"/>
        <v>8-DEC</v>
      </c>
      <c r="E14" s="14" t="s">
        <v>106</v>
      </c>
      <c r="F14" s="14" t="s">
        <v>14</v>
      </c>
      <c r="G14" s="14" t="s">
        <v>43</v>
      </c>
      <c r="H14" s="14" t="str">
        <f t="shared" si="1"/>
        <v>Coffee Maker Nespresso</v>
      </c>
      <c r="I14" s="15">
        <v>120</v>
      </c>
      <c r="J14" s="14">
        <v>35</v>
      </c>
      <c r="K14" s="14" t="s">
        <v>96</v>
      </c>
      <c r="L14" s="5" t="s">
        <v>98</v>
      </c>
      <c r="M14" s="5"/>
      <c r="N14" s="4"/>
      <c r="O14" s="4"/>
      <c r="P14" s="4"/>
      <c r="Q14" s="4"/>
      <c r="R14" s="4"/>
      <c r="S14" s="4"/>
      <c r="T14" s="4"/>
      <c r="U14" s="4"/>
      <c r="V14" s="1"/>
      <c r="W14" s="1"/>
      <c r="X14" s="1"/>
    </row>
    <row r="15" spans="1:24" ht="15.75" customHeight="1">
      <c r="A15" s="16" t="s">
        <v>44</v>
      </c>
      <c r="B15" s="16">
        <v>18</v>
      </c>
      <c r="C15" s="16" t="s">
        <v>133</v>
      </c>
      <c r="D15" s="16" t="str">
        <f t="shared" si="0"/>
        <v>18-FEB</v>
      </c>
      <c r="E15" s="16" t="s">
        <v>107</v>
      </c>
      <c r="F15" s="16" t="s">
        <v>45</v>
      </c>
      <c r="G15" s="16" t="s">
        <v>46</v>
      </c>
      <c r="H15" s="16" t="str">
        <f t="shared" si="1"/>
        <v>Smartwatch Fitbit</v>
      </c>
      <c r="I15" s="17">
        <v>150</v>
      </c>
      <c r="J15" s="16">
        <v>15</v>
      </c>
      <c r="K15" s="16" t="s">
        <v>8</v>
      </c>
      <c r="L15" s="4" t="s">
        <v>122</v>
      </c>
      <c r="M15" s="4"/>
      <c r="N15" s="4"/>
      <c r="O15" s="4"/>
      <c r="P15" s="4"/>
      <c r="Q15" s="4"/>
      <c r="R15" s="4"/>
      <c r="S15" s="4"/>
      <c r="T15" s="4"/>
      <c r="U15" s="4"/>
      <c r="V15" s="1"/>
      <c r="W15" s="1"/>
      <c r="X15" s="1"/>
    </row>
    <row r="16" spans="1:24" ht="15.75" customHeight="1">
      <c r="A16" s="14" t="s">
        <v>47</v>
      </c>
      <c r="B16" s="14">
        <v>16</v>
      </c>
      <c r="C16" s="14" t="s">
        <v>135</v>
      </c>
      <c r="D16" s="14" t="str">
        <f t="shared" si="0"/>
        <v>16-APR</v>
      </c>
      <c r="E16" s="14" t="s">
        <v>108</v>
      </c>
      <c r="F16" s="14" t="s">
        <v>23</v>
      </c>
      <c r="G16" s="14" t="s">
        <v>48</v>
      </c>
      <c r="H16" s="14" t="str">
        <f t="shared" si="1"/>
        <v>Headphones Bose</v>
      </c>
      <c r="I16" s="15">
        <v>250</v>
      </c>
      <c r="J16" s="14">
        <v>20</v>
      </c>
      <c r="K16" s="14" t="s">
        <v>8</v>
      </c>
      <c r="L16" s="5"/>
      <c r="M16" s="5"/>
      <c r="N16" s="4"/>
      <c r="O16" s="4"/>
      <c r="P16" s="4"/>
      <c r="Q16" s="4"/>
      <c r="R16" s="4"/>
      <c r="S16" s="4"/>
      <c r="T16" s="4"/>
      <c r="U16" s="4"/>
      <c r="V16" s="1"/>
      <c r="W16" s="1"/>
      <c r="X16" s="1"/>
    </row>
    <row r="17" spans="1:24" ht="15.75" customHeight="1">
      <c r="A17" s="16" t="s">
        <v>49</v>
      </c>
      <c r="B17" s="16">
        <v>21</v>
      </c>
      <c r="C17" s="16" t="s">
        <v>139</v>
      </c>
      <c r="D17" s="16" t="str">
        <f t="shared" si="0"/>
        <v>21-AUG</v>
      </c>
      <c r="E17" s="16" t="s">
        <v>107</v>
      </c>
      <c r="F17" s="16" t="s">
        <v>50</v>
      </c>
      <c r="G17" s="16" t="s">
        <v>51</v>
      </c>
      <c r="H17" s="16" t="str">
        <f t="shared" si="1"/>
        <v>Laptop Bag Samsonite</v>
      </c>
      <c r="I17" s="17">
        <v>50</v>
      </c>
      <c r="J17" s="16">
        <v>35</v>
      </c>
      <c r="K17" s="16" t="s">
        <v>52</v>
      </c>
      <c r="L17" s="5" t="s">
        <v>99</v>
      </c>
      <c r="M17" s="5"/>
      <c r="N17" s="4"/>
      <c r="O17" s="4"/>
      <c r="P17" s="6"/>
      <c r="Q17" s="4"/>
      <c r="R17" s="4"/>
      <c r="S17" s="4"/>
      <c r="T17" s="4"/>
      <c r="U17" s="4"/>
      <c r="V17" s="1"/>
      <c r="W17" s="4"/>
      <c r="X17" s="1"/>
    </row>
    <row r="18" spans="1:24" ht="15.75" customHeight="1">
      <c r="A18" s="14" t="s">
        <v>53</v>
      </c>
      <c r="B18" s="14">
        <v>20</v>
      </c>
      <c r="C18" s="14" t="s">
        <v>139</v>
      </c>
      <c r="D18" s="14" t="str">
        <f t="shared" si="0"/>
        <v>20-AUG</v>
      </c>
      <c r="E18" s="14" t="s">
        <v>109</v>
      </c>
      <c r="F18" s="14" t="s">
        <v>45</v>
      </c>
      <c r="G18" s="14" t="s">
        <v>54</v>
      </c>
      <c r="H18" s="14" t="str">
        <f t="shared" si="1"/>
        <v>Smartwatch Huawei</v>
      </c>
      <c r="I18" s="15">
        <v>160</v>
      </c>
      <c r="J18" s="14">
        <v>15</v>
      </c>
      <c r="K18" s="14" t="s">
        <v>8</v>
      </c>
      <c r="L18" s="3" t="s">
        <v>147</v>
      </c>
      <c r="M18" s="4"/>
      <c r="N18" s="4"/>
      <c r="O18" s="4"/>
      <c r="P18" s="4"/>
      <c r="Q18" s="4"/>
      <c r="R18" s="3"/>
      <c r="S18" s="4"/>
      <c r="T18" s="4"/>
      <c r="U18" s="4"/>
      <c r="V18" s="1"/>
      <c r="W18" s="1"/>
      <c r="X18" s="1"/>
    </row>
    <row r="19" spans="1:24" ht="15.75" customHeight="1">
      <c r="A19" s="16" t="s">
        <v>55</v>
      </c>
      <c r="B19" s="16">
        <v>27</v>
      </c>
      <c r="C19" s="16" t="s">
        <v>132</v>
      </c>
      <c r="D19" s="16" t="str">
        <f t="shared" si="0"/>
        <v>27-JAN</v>
      </c>
      <c r="E19" s="16" t="s">
        <v>110</v>
      </c>
      <c r="F19" s="16" t="s">
        <v>39</v>
      </c>
      <c r="G19" s="16" t="s">
        <v>56</v>
      </c>
      <c r="H19" s="16" t="str">
        <f t="shared" si="1"/>
        <v>Laptop Asus</v>
      </c>
      <c r="I19" s="17">
        <v>980</v>
      </c>
      <c r="J19" s="16">
        <v>10</v>
      </c>
      <c r="K19" s="16" t="s">
        <v>8</v>
      </c>
      <c r="L19" s="3" t="s">
        <v>123</v>
      </c>
      <c r="M19" s="4"/>
      <c r="N19" s="4"/>
      <c r="O19" s="4"/>
      <c r="P19" s="4"/>
      <c r="Q19" s="4"/>
      <c r="R19" s="3"/>
      <c r="S19" s="4"/>
      <c r="T19" s="4"/>
      <c r="U19" s="4"/>
      <c r="V19" s="1"/>
      <c r="W19" s="1"/>
      <c r="X19" s="1"/>
    </row>
    <row r="20" spans="1:24" ht="15.75" customHeight="1">
      <c r="A20" s="14" t="s">
        <v>57</v>
      </c>
      <c r="B20" s="14">
        <v>1</v>
      </c>
      <c r="C20" s="14" t="s">
        <v>134</v>
      </c>
      <c r="D20" s="14" t="str">
        <f t="shared" si="0"/>
        <v>1-MAR</v>
      </c>
      <c r="E20" s="14" t="s">
        <v>103</v>
      </c>
      <c r="F20" s="14" t="s">
        <v>58</v>
      </c>
      <c r="G20" s="14" t="s">
        <v>59</v>
      </c>
      <c r="H20" s="14" t="str">
        <f t="shared" si="1"/>
        <v>Sunglasses Oakley</v>
      </c>
      <c r="I20" s="15">
        <v>150</v>
      </c>
      <c r="J20" s="14">
        <v>15</v>
      </c>
      <c r="K20" s="14" t="s">
        <v>12</v>
      </c>
      <c r="L20" s="5" t="s">
        <v>124</v>
      </c>
      <c r="M20" s="8" t="s">
        <v>148</v>
      </c>
      <c r="N20" s="8"/>
      <c r="O20" s="4"/>
      <c r="P20" s="4"/>
      <c r="Q20" s="4"/>
      <c r="R20" s="4"/>
      <c r="S20" s="4"/>
      <c r="T20" s="4"/>
      <c r="U20" s="4"/>
      <c r="V20" s="1"/>
      <c r="W20" s="1"/>
      <c r="X20" s="1"/>
    </row>
    <row r="21" spans="1:24" ht="15.75" customHeight="1">
      <c r="A21" s="16" t="s">
        <v>60</v>
      </c>
      <c r="B21" s="16">
        <v>14</v>
      </c>
      <c r="C21" s="16" t="s">
        <v>139</v>
      </c>
      <c r="D21" s="16" t="str">
        <f t="shared" si="0"/>
        <v>14-AUG</v>
      </c>
      <c r="E21" s="16" t="s">
        <v>102</v>
      </c>
      <c r="F21" s="16" t="s">
        <v>61</v>
      </c>
      <c r="G21" s="16" t="s">
        <v>62</v>
      </c>
      <c r="H21" s="16" t="str">
        <f t="shared" si="1"/>
        <v>Camping Tent Coleman</v>
      </c>
      <c r="I21" s="17">
        <v>309.35483870967744</v>
      </c>
      <c r="J21" s="16">
        <v>10</v>
      </c>
      <c r="K21" s="16" t="s">
        <v>37</v>
      </c>
      <c r="L21" s="4"/>
      <c r="M21" s="8"/>
      <c r="N21" s="8"/>
      <c r="O21" s="4"/>
      <c r="P21" s="4"/>
      <c r="Q21" s="4"/>
      <c r="R21" s="4"/>
      <c r="S21" s="4"/>
      <c r="T21" s="4"/>
      <c r="U21" s="4"/>
      <c r="V21" s="1"/>
      <c r="W21" s="1"/>
      <c r="X21" s="1"/>
    </row>
    <row r="22" spans="1:24" ht="15.75" customHeight="1">
      <c r="A22" s="14" t="s">
        <v>63</v>
      </c>
      <c r="B22" s="14">
        <v>14</v>
      </c>
      <c r="C22" s="14" t="s">
        <v>136</v>
      </c>
      <c r="D22" s="14" t="str">
        <f t="shared" si="0"/>
        <v>14-MAY</v>
      </c>
      <c r="E22" s="14" t="s">
        <v>111</v>
      </c>
      <c r="F22" s="14" t="s">
        <v>64</v>
      </c>
      <c r="G22" s="14" t="s">
        <v>65</v>
      </c>
      <c r="H22" s="14" t="str">
        <f t="shared" si="1"/>
        <v>Camera Nikon</v>
      </c>
      <c r="I22" s="15">
        <v>700</v>
      </c>
      <c r="J22" s="14">
        <v>50</v>
      </c>
      <c r="K22" s="14" t="s">
        <v>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1"/>
      <c r="W22" s="1"/>
      <c r="X22" s="1"/>
    </row>
    <row r="23" spans="1:24" ht="15.75" customHeight="1">
      <c r="A23" s="16" t="s">
        <v>66</v>
      </c>
      <c r="B23" s="16">
        <v>9</v>
      </c>
      <c r="C23" s="16" t="s">
        <v>132</v>
      </c>
      <c r="D23" s="16" t="str">
        <f t="shared" si="0"/>
        <v>9-JAN</v>
      </c>
      <c r="E23" s="16" t="s">
        <v>107</v>
      </c>
      <c r="F23" s="16" t="s">
        <v>67</v>
      </c>
      <c r="G23" s="16" t="s">
        <v>68</v>
      </c>
      <c r="H23" s="16" t="str">
        <f t="shared" si="1"/>
        <v>Microwave Panasonic</v>
      </c>
      <c r="I23" s="17">
        <v>80</v>
      </c>
      <c r="J23" s="16">
        <v>20</v>
      </c>
      <c r="K23" s="16" t="s">
        <v>16</v>
      </c>
      <c r="L23" s="5" t="s">
        <v>114</v>
      </c>
      <c r="M23" s="5"/>
      <c r="N23" s="4"/>
      <c r="O23" s="4"/>
      <c r="P23" s="4"/>
      <c r="Q23" s="4"/>
      <c r="R23" s="4"/>
      <c r="S23" s="4"/>
      <c r="T23" s="4"/>
      <c r="U23" s="4"/>
      <c r="V23" s="1"/>
      <c r="W23" s="1"/>
      <c r="X23" s="1"/>
    </row>
    <row r="24" spans="1:24" ht="15.75" customHeight="1">
      <c r="A24" s="14" t="s">
        <v>69</v>
      </c>
      <c r="B24" s="14">
        <v>19</v>
      </c>
      <c r="C24" s="14" t="s">
        <v>138</v>
      </c>
      <c r="D24" s="14" t="str">
        <f t="shared" si="0"/>
        <v>19-JUL</v>
      </c>
      <c r="E24" s="14" t="s">
        <v>112</v>
      </c>
      <c r="F24" s="14" t="s">
        <v>70</v>
      </c>
      <c r="G24" s="14" t="s">
        <v>71</v>
      </c>
      <c r="H24" s="14" t="str">
        <f t="shared" si="1"/>
        <v>Fitness Tracker Xiaomi</v>
      </c>
      <c r="I24" s="15">
        <v>150</v>
      </c>
      <c r="J24" s="14">
        <v>30</v>
      </c>
      <c r="K24" s="14" t="s">
        <v>96</v>
      </c>
      <c r="L24" s="3" t="s">
        <v>126</v>
      </c>
      <c r="M24" s="4"/>
      <c r="N24" s="4"/>
      <c r="O24" s="4"/>
      <c r="P24" s="4"/>
      <c r="Q24" s="4"/>
      <c r="R24" s="4"/>
      <c r="S24" s="4"/>
      <c r="T24" s="4"/>
      <c r="U24" s="4"/>
      <c r="V24" s="1"/>
      <c r="W24" s="1"/>
      <c r="X24" s="1"/>
    </row>
    <row r="25" spans="1:24" ht="15.75" customHeight="1">
      <c r="A25" s="14" t="s">
        <v>72</v>
      </c>
      <c r="B25" s="14">
        <v>29</v>
      </c>
      <c r="C25" s="14" t="s">
        <v>140</v>
      </c>
      <c r="D25" s="14" t="str">
        <f t="shared" si="0"/>
        <v>29-SEP</v>
      </c>
      <c r="E25" s="14" t="s">
        <v>107</v>
      </c>
      <c r="F25" s="14" t="s">
        <v>73</v>
      </c>
      <c r="G25" s="14" t="s">
        <v>74</v>
      </c>
      <c r="H25" s="14" t="str">
        <f t="shared" si="1"/>
        <v>Smartphone Google</v>
      </c>
      <c r="I25" s="15">
        <v>800</v>
      </c>
      <c r="J25" s="14">
        <v>45</v>
      </c>
      <c r="K25" s="14" t="s">
        <v>8</v>
      </c>
      <c r="L25" s="3" t="s">
        <v>145</v>
      </c>
      <c r="M25" s="4"/>
      <c r="N25" s="4"/>
      <c r="O25" s="4"/>
      <c r="P25" s="4"/>
      <c r="Q25" s="4"/>
      <c r="R25" s="4"/>
      <c r="S25" s="4"/>
      <c r="T25" s="4"/>
      <c r="U25" s="4"/>
      <c r="V25" s="1"/>
      <c r="W25" s="1"/>
      <c r="X25" s="1"/>
    </row>
    <row r="26" spans="1:24" ht="15.75" customHeight="1">
      <c r="A26" s="16" t="s">
        <v>75</v>
      </c>
      <c r="B26" s="16">
        <v>3</v>
      </c>
      <c r="C26" s="16" t="s">
        <v>137</v>
      </c>
      <c r="D26" s="16" t="str">
        <f t="shared" si="0"/>
        <v>3-JUN</v>
      </c>
      <c r="E26" s="16" t="s">
        <v>107</v>
      </c>
      <c r="F26" s="16" t="s">
        <v>58</v>
      </c>
      <c r="G26" s="16" t="s">
        <v>76</v>
      </c>
      <c r="H26" s="16" t="str">
        <f t="shared" si="1"/>
        <v>Sunglasses Ray-Ban</v>
      </c>
      <c r="I26" s="17">
        <v>309.35483870967744</v>
      </c>
      <c r="J26" s="16">
        <v>25</v>
      </c>
      <c r="K26" s="16" t="s">
        <v>12</v>
      </c>
      <c r="L26" s="4" t="s">
        <v>146</v>
      </c>
      <c r="M26" s="7"/>
      <c r="N26" s="7"/>
      <c r="O26" s="7"/>
      <c r="Q26" s="18"/>
      <c r="R26" s="18"/>
      <c r="S26" s="4"/>
      <c r="T26" s="4"/>
      <c r="U26" s="4"/>
      <c r="V26" s="1"/>
      <c r="W26" s="1"/>
      <c r="X26" s="1"/>
    </row>
    <row r="27" spans="1:24" ht="15.75" customHeight="1">
      <c r="A27" s="14" t="s">
        <v>77</v>
      </c>
      <c r="B27" s="14">
        <v>11</v>
      </c>
      <c r="C27" s="14" t="s">
        <v>138</v>
      </c>
      <c r="D27" s="14" t="str">
        <f t="shared" si="0"/>
        <v>11-JUL</v>
      </c>
      <c r="E27" s="14" t="s">
        <v>107</v>
      </c>
      <c r="F27" s="14" t="s">
        <v>29</v>
      </c>
      <c r="G27" s="14" t="s">
        <v>78</v>
      </c>
      <c r="H27" s="14" t="str">
        <f t="shared" si="1"/>
        <v>Blender Vitamix</v>
      </c>
      <c r="I27" s="15">
        <v>400</v>
      </c>
      <c r="J27" s="14">
        <v>40</v>
      </c>
      <c r="K27" s="14" t="s">
        <v>16</v>
      </c>
      <c r="L27" s="4" t="s">
        <v>128</v>
      </c>
      <c r="M27" s="7"/>
      <c r="N27" s="7"/>
      <c r="O27" s="7"/>
      <c r="P27" s="7"/>
      <c r="Q27" s="7"/>
      <c r="R27" s="7"/>
      <c r="S27" s="4"/>
      <c r="T27" s="4"/>
      <c r="U27" s="4"/>
      <c r="V27" s="1"/>
      <c r="W27" s="1"/>
      <c r="X27" s="1"/>
    </row>
    <row r="28" spans="1:24" ht="15.75" customHeight="1">
      <c r="A28" s="14" t="s">
        <v>79</v>
      </c>
      <c r="B28" s="14">
        <v>7</v>
      </c>
      <c r="C28" s="14" t="s">
        <v>134</v>
      </c>
      <c r="D28" s="14" t="str">
        <f t="shared" si="0"/>
        <v>7-MAR</v>
      </c>
      <c r="E28" s="14" t="s">
        <v>107</v>
      </c>
      <c r="F28" s="14" t="s">
        <v>80</v>
      </c>
      <c r="G28" s="14" t="s">
        <v>81</v>
      </c>
      <c r="H28" s="14" t="str">
        <f t="shared" si="1"/>
        <v>Dress Zara</v>
      </c>
      <c r="I28" s="15">
        <v>60</v>
      </c>
      <c r="J28" s="14">
        <v>30</v>
      </c>
      <c r="K28" s="14" t="s">
        <v>12</v>
      </c>
      <c r="L28" s="4"/>
      <c r="M28" s="7"/>
      <c r="N28" s="7"/>
      <c r="O28" s="7"/>
      <c r="P28" s="7"/>
      <c r="Q28" s="7"/>
      <c r="R28" s="7"/>
      <c r="S28" s="4"/>
      <c r="T28" s="4"/>
      <c r="U28" s="4"/>
      <c r="V28" s="1"/>
      <c r="W28" s="1"/>
      <c r="X28" s="1"/>
    </row>
    <row r="29" spans="1:24" ht="15.75" customHeight="1">
      <c r="A29" s="16" t="s">
        <v>82</v>
      </c>
      <c r="B29" s="16">
        <v>13</v>
      </c>
      <c r="C29" s="16" t="s">
        <v>135</v>
      </c>
      <c r="D29" s="16" t="str">
        <f t="shared" si="0"/>
        <v>13-APR</v>
      </c>
      <c r="E29" s="16" t="s">
        <v>107</v>
      </c>
      <c r="F29" s="16" t="s">
        <v>83</v>
      </c>
      <c r="G29" s="16" t="s">
        <v>84</v>
      </c>
      <c r="H29" s="16" t="str">
        <f t="shared" si="1"/>
        <v>Toaster Hamilton</v>
      </c>
      <c r="I29" s="17">
        <v>40</v>
      </c>
      <c r="J29" s="16">
        <v>10</v>
      </c>
      <c r="K29" s="16" t="s">
        <v>16</v>
      </c>
      <c r="L29" s="5" t="s">
        <v>115</v>
      </c>
      <c r="M29" s="5"/>
      <c r="N29" s="4"/>
      <c r="O29" s="4"/>
      <c r="P29" s="4"/>
      <c r="Q29" s="4"/>
      <c r="R29" s="4"/>
      <c r="S29" s="4"/>
      <c r="T29" s="4"/>
      <c r="U29" s="4"/>
      <c r="V29" s="1"/>
      <c r="W29" s="1"/>
      <c r="X29" s="1"/>
    </row>
    <row r="30" spans="1:24" ht="15.75" customHeight="1">
      <c r="A30" s="14" t="s">
        <v>85</v>
      </c>
      <c r="B30" s="14">
        <v>24</v>
      </c>
      <c r="C30" s="14" t="s">
        <v>136</v>
      </c>
      <c r="D30" s="14" t="str">
        <f t="shared" si="0"/>
        <v>24-MAY</v>
      </c>
      <c r="E30" s="14" t="s">
        <v>107</v>
      </c>
      <c r="F30" s="14" t="s">
        <v>70</v>
      </c>
      <c r="G30" s="14" t="s">
        <v>86</v>
      </c>
      <c r="H30" s="14" t="str">
        <f t="shared" si="1"/>
        <v>Fitness Tracker Garmin</v>
      </c>
      <c r="I30" s="15">
        <v>130</v>
      </c>
      <c r="J30" s="14">
        <v>5</v>
      </c>
      <c r="K30" s="14" t="s">
        <v>8</v>
      </c>
      <c r="L30" s="4" t="s">
        <v>130</v>
      </c>
      <c r="M30" s="4"/>
      <c r="N30" s="4"/>
      <c r="O30" s="4"/>
      <c r="P30" s="4"/>
      <c r="Q30" s="4"/>
      <c r="R30" s="4"/>
      <c r="S30" s="4"/>
      <c r="T30" s="4"/>
      <c r="U30" s="4"/>
      <c r="V30" s="1"/>
      <c r="W30" s="1"/>
      <c r="X30" s="1"/>
    </row>
    <row r="31" spans="1:24" ht="15.75" customHeight="1">
      <c r="A31" s="16" t="s">
        <v>87</v>
      </c>
      <c r="B31" s="16">
        <v>2</v>
      </c>
      <c r="C31" s="16" t="s">
        <v>143</v>
      </c>
      <c r="D31" s="16" t="str">
        <f t="shared" si="0"/>
        <v>2-DEC</v>
      </c>
      <c r="E31" s="16" t="s">
        <v>107</v>
      </c>
      <c r="F31" s="16" t="s">
        <v>88</v>
      </c>
      <c r="G31" s="16" t="s">
        <v>89</v>
      </c>
      <c r="H31" s="16" t="str">
        <f t="shared" si="1"/>
        <v>Jeans Levi's</v>
      </c>
      <c r="I31" s="17">
        <v>50</v>
      </c>
      <c r="J31" s="16">
        <v>50</v>
      </c>
      <c r="K31" s="16" t="s">
        <v>12</v>
      </c>
      <c r="L31" s="3" t="s">
        <v>127</v>
      </c>
      <c r="M31" s="4"/>
      <c r="N31" s="4"/>
      <c r="O31" s="4"/>
      <c r="P31" s="4"/>
      <c r="Q31" s="4"/>
      <c r="R31" s="4"/>
      <c r="S31" s="4"/>
      <c r="T31" s="4"/>
      <c r="U31" s="4"/>
      <c r="V31" s="1"/>
      <c r="W31" s="1"/>
      <c r="X31" s="1"/>
    </row>
    <row r="32" spans="1:24" ht="15.75" customHeight="1">
      <c r="A32" s="16" t="s">
        <v>90</v>
      </c>
      <c r="B32" s="16">
        <v>9</v>
      </c>
      <c r="C32" s="16" t="s">
        <v>138</v>
      </c>
      <c r="D32" s="16" t="str">
        <f t="shared" si="0"/>
        <v>9-JUL</v>
      </c>
      <c r="E32" s="16" t="s">
        <v>113</v>
      </c>
      <c r="F32" s="16" t="s">
        <v>91</v>
      </c>
      <c r="G32" s="16" t="s">
        <v>92</v>
      </c>
      <c r="H32" s="16" t="str">
        <f t="shared" si="1"/>
        <v>Watch Casio</v>
      </c>
      <c r="I32" s="17">
        <v>100</v>
      </c>
      <c r="J32" s="16">
        <v>20</v>
      </c>
      <c r="K32" s="16" t="s">
        <v>52</v>
      </c>
      <c r="L32" s="5"/>
      <c r="M32" s="5"/>
      <c r="N32" s="4"/>
      <c r="O32" s="4"/>
      <c r="P32" s="4"/>
      <c r="Q32" s="4"/>
      <c r="R32" s="4"/>
      <c r="S32" s="4"/>
      <c r="T32" s="4"/>
      <c r="U32" s="1"/>
      <c r="V32" s="1"/>
      <c r="W32" s="1"/>
      <c r="X32" s="1"/>
    </row>
    <row r="33" spans="9:24" ht="15.75" customHeight="1">
      <c r="I33"/>
      <c r="L33" s="4"/>
      <c r="M33" s="4"/>
      <c r="N33" s="4"/>
      <c r="O33" s="4"/>
      <c r="P33" s="4"/>
      <c r="Q33" s="4"/>
      <c r="R33" s="4"/>
      <c r="S33" s="4"/>
      <c r="T33" s="4"/>
      <c r="U33" s="1"/>
      <c r="V33" s="1"/>
      <c r="W33" s="1"/>
      <c r="X33" s="1"/>
    </row>
    <row r="34" spans="9:24" ht="15.75" customHeight="1">
      <c r="I34"/>
      <c r="L34" s="3"/>
      <c r="M34" s="4"/>
      <c r="N34" s="4"/>
      <c r="O34" s="4"/>
      <c r="P34" s="4"/>
      <c r="Q34" s="4"/>
      <c r="R34" s="4"/>
      <c r="S34" s="4"/>
      <c r="T34" s="4"/>
      <c r="U34" s="1"/>
      <c r="V34" s="1"/>
      <c r="W34" s="1"/>
      <c r="X34" s="1"/>
    </row>
    <row r="35" spans="9:24" ht="15.75" customHeight="1">
      <c r="I35"/>
    </row>
    <row r="36" spans="9:24" ht="15.75" customHeight="1"/>
    <row r="37" spans="9:24" ht="15.75" customHeight="1"/>
    <row r="38" spans="9:24" ht="15.75" customHeight="1"/>
    <row r="39" spans="9:24" ht="15.75" customHeight="1"/>
    <row r="40" spans="9:24" ht="15.75" customHeight="1"/>
    <row r="41" spans="9:24" ht="15.75" customHeight="1"/>
    <row r="42" spans="9:24" ht="15.75" customHeight="1"/>
    <row r="43" spans="9:24" ht="15.75" customHeight="1"/>
    <row r="44" spans="9:24" ht="15.75" customHeight="1"/>
    <row r="45" spans="9:24" ht="15.75" customHeight="1"/>
    <row r="46" spans="9:24" ht="15.75" customHeight="1"/>
    <row r="47" spans="9:24" ht="15.75" customHeight="1"/>
    <row r="48" spans="9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33">
    <cfRule type="colorScale" priority="9">
      <colorScale>
        <cfvo type="num" val="40"/>
        <cfvo type="num" val="500"/>
        <cfvo type="num" val="1000"/>
        <color rgb="FFF8696B"/>
        <color rgb="FFFFEB84"/>
        <color rgb="FF63BE7B"/>
      </colorScale>
    </cfRule>
    <cfRule type="colorScale" priority="10">
      <colorScale>
        <cfvo type="num" val="40"/>
        <cfvo type="num" val="1000"/>
        <color rgb="FFFF0000"/>
        <color rgb="FF00B050"/>
      </colorScale>
    </cfRule>
  </conditionalFormatting>
  <conditionalFormatting sqref="I1:I1048576">
    <cfRule type="colorScale" priority="1">
      <colorScale>
        <cfvo type="num" val="100"/>
        <cfvo type="num" val="400"/>
        <cfvo type="num" val="1000"/>
        <color rgb="FFF8696B"/>
        <color rgb="FFFFEB84"/>
        <color rgb="FF63BE7B"/>
      </colorScale>
    </cfRule>
    <cfRule type="colorScale" priority="2">
      <colorScale>
        <cfvo type="num" val="100"/>
        <cfvo type="num" val="500"/>
        <cfvo type="num" val="1000"/>
        <color rgb="FFF8696B"/>
        <color rgb="FFFFEB84"/>
        <color rgb="FF63BE7B"/>
      </colorScale>
    </cfRule>
    <cfRule type="colorScale" priority="3">
      <colorScale>
        <cfvo type="num" val="200"/>
        <cfvo type="num" val="600"/>
        <cfvo type="num" val="1000"/>
        <color rgb="FFF8696B"/>
        <color rgb="FFFFEB84"/>
        <color rgb="FF63BE7B"/>
      </colorScale>
    </cfRule>
    <cfRule type="colorScale" priority="4">
      <colorScale>
        <cfvo type="num" val="300"/>
        <cfvo type="num" val="600"/>
        <cfvo type="num" val="1000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ntainsText" dxfId="0" priority="11" operator="containsText" text="Electronics">
      <formula>NOT(ISERROR(SEARCH("Electronics",K1)))</formula>
    </cfRule>
    <cfRule type="containsText" priority="12" operator="containsText" text="Electronics">
      <formula>NOT(ISERROR(SEARCH("Electronics",K1)))</formula>
    </cfRule>
  </conditionalFormatting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</dc:creator>
  <cp:lastModifiedBy>Monisha Balamurugan</cp:lastModifiedBy>
  <cp:lastPrinted>2026-09-28T04:38:45Z</cp:lastPrinted>
  <dcterms:created xsi:type="dcterms:W3CDTF">2026-07-23T14:43:37Z</dcterms:created>
  <dcterms:modified xsi:type="dcterms:W3CDTF">2026-09-28T04:41:48Z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